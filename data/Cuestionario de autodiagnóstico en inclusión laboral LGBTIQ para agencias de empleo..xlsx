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jcgm/Desktop/Gpt- LGBTIQ+/ExcelInteractivo/mi_app_inclusiva/data/"/>
    </mc:Choice>
  </mc:AlternateContent>
  <xr:revisionPtr revIDLastSave="0" documentId="13_ncr:1_{CFA9299F-32F9-394B-889D-EC9F38B209EE}" xr6:coauthVersionLast="47" xr6:coauthVersionMax="47" xr10:uidLastSave="{00000000-0000-0000-0000-000000000000}"/>
  <bookViews>
    <workbookView xWindow="0" yWindow="760" windowWidth="34200" windowHeight="20360" activeTab="1" xr2:uid="{00000000-000D-0000-FFFF-FFFF00000000}"/>
  </bookViews>
  <sheets>
    <sheet name="Instrucciones" sheetId="9" r:id="rId1"/>
    <sheet name="Cuestionario" sheetId="2" r:id="rId2"/>
    <sheet name="Nivel 1" sheetId="4" r:id="rId3"/>
    <sheet name="Nivel 2" sheetId="7" r:id="rId4"/>
    <sheet name="Nivel 3" sheetId="8" r:id="rId5"/>
    <sheet name="Recomendaciones" sheetId="10" r:id="rId6"/>
    <sheet name="Listas desplegables" sheetId="3"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2" l="1"/>
  <c r="C81" i="2" s="1"/>
  <c r="H16" i="2" l="1"/>
</calcChain>
</file>

<file path=xl/sharedStrings.xml><?xml version="1.0" encoding="utf-8"?>
<sst xmlns="http://schemas.openxmlformats.org/spreadsheetml/2006/main" count="180" uniqueCount="162">
  <si>
    <t>A</t>
  </si>
  <si>
    <t>Marco normativo interno</t>
  </si>
  <si>
    <t>Respuesta</t>
  </si>
  <si>
    <t>Estrategias de atracción y convocatoria</t>
  </si>
  <si>
    <t>B</t>
  </si>
  <si>
    <t>C</t>
  </si>
  <si>
    <t>Selección y entrevistas</t>
  </si>
  <si>
    <t>D</t>
  </si>
  <si>
    <t>Formalización y documentación</t>
  </si>
  <si>
    <t>Inducción y acogida</t>
  </si>
  <si>
    <t>E</t>
  </si>
  <si>
    <t>Clima laboral y atención a casos</t>
  </si>
  <si>
    <t>F</t>
  </si>
  <si>
    <t>Evaluación del desempeño y desarrollo</t>
  </si>
  <si>
    <t>G</t>
  </si>
  <si>
    <t>H</t>
  </si>
  <si>
    <t>Proveedores y aliados</t>
  </si>
  <si>
    <t>Comunicación institucional</t>
  </si>
  <si>
    <t>I</t>
  </si>
  <si>
    <t>Compromiso estratégico</t>
  </si>
  <si>
    <t>J</t>
  </si>
  <si>
    <t>PUNTAJE FINAL</t>
  </si>
  <si>
    <t>RECOMENDACIONES</t>
  </si>
  <si>
    <t>RUTA DE APRENDIZAJE SUGERIDA</t>
  </si>
  <si>
    <t>NIVEL</t>
  </si>
  <si>
    <t>1 - INICIAL</t>
  </si>
  <si>
    <t>DEFINICIÓN</t>
  </si>
  <si>
    <t>CARACTERÍSTICAS</t>
  </si>
  <si>
    <t>Brújula Diversa</t>
  </si>
  <si>
    <t>*ABC de la diversidad
* Sesgos inconscientes
* Pautas de atención a clientes y usuarios diversos
* Lenguaje inclusivo</t>
  </si>
  <si>
    <t>2 - INTERMEDIO</t>
  </si>
  <si>
    <t>Culturas que cuidan</t>
  </si>
  <si>
    <t>* Espacios seguros
* ABC de orientaciones e identidades
* Rompiendo estereotipos
* Formación en diversidad para equipos de talento humano.</t>
  </si>
  <si>
    <t>3 - AVANZADO</t>
  </si>
  <si>
    <t>Talento sin etiquetas</t>
  </si>
  <si>
    <t>* Entrevista libre de sesgos
* Talento trans
* Interseccionalidad
*Procesos de contratación desde una mirada jurídica.</t>
  </si>
  <si>
    <t>Siga estos pasos para completarlo:</t>
  </si>
  <si>
    <t>Apreciado equipo: Agradecemos leer atentamente las instrucciones antes de diligenciar el formulario</t>
  </si>
  <si>
    <t>Cada opción tiene un puntaje (3, 2 o 1) que se sumará automáticamente.</t>
  </si>
  <si>
    <t>Lea atentamente cada pregunta y las tres opciones disponibles.</t>
  </si>
  <si>
    <r>
      <t xml:space="preserve">Consta de </t>
    </r>
    <r>
      <rPr>
        <b/>
        <sz val="11"/>
        <color theme="1"/>
        <rFont val="Century Gothic"/>
        <family val="2"/>
      </rPr>
      <t>10 preguntas</t>
    </r>
    <r>
      <rPr>
        <sz val="11"/>
        <color theme="1"/>
        <rFont val="Century Gothic"/>
        <family val="2"/>
      </rPr>
      <t>, cada una con tres opciones de respuesta que describen prácticas o situaciones concretas.</t>
    </r>
  </si>
  <si>
    <r>
      <t xml:space="preserve">Este autodiagnóstico es </t>
    </r>
    <r>
      <rPr>
        <b/>
        <sz val="11"/>
        <color theme="1"/>
        <rFont val="Century Gothic"/>
        <family val="2"/>
      </rPr>
      <t>confidencial</t>
    </r>
    <r>
      <rPr>
        <sz val="11"/>
        <color theme="1"/>
        <rFont val="Century Gothic"/>
        <family val="2"/>
      </rPr>
      <t xml:space="preserve"> y está diseñado para uso interno, como insumo para la mejora continua y la planificación estratégica </t>
    </r>
  </si>
  <si>
    <t>en materia de diversidad, equidad e inclusión.</t>
  </si>
  <si>
    <t xml:space="preserve">Según el nivel, el sistema le indicará una ruta de aprendizaje sugerida con talleres y acciones formativas para fortalecer sus prácticas de inclusión, </t>
  </si>
  <si>
    <t xml:space="preserve">los cuales encontrará en las respectivas pestañas en este documento. </t>
  </si>
  <si>
    <t>Recomendaciones para la mitigación de barreras organizacionales</t>
  </si>
  <si>
    <t>Barrera organizacional</t>
  </si>
  <si>
    <t>Concepto</t>
  </si>
  <si>
    <t>Aspectos situacionales</t>
  </si>
  <si>
    <t>Impacto real sobre personas LGBTIQ+</t>
  </si>
  <si>
    <t>Señales de alerta institucional</t>
  </si>
  <si>
    <t>Recomendaciones prácticas</t>
  </si>
  <si>
    <t>1. Binarismo institucional y lenguaje excluyente</t>
  </si>
  <si>
    <t>El binarismo de género es una construcción sociocultural que asume la existencia de solo dos géneros posibles: hombre o mujer, desconociendo identidades no binarias, de género fluido y otras formas diversas de vivencia de género. Este enfoque binario está profundamente arraigado en los sistemas administrativos, legales y comunicativos de muchas instituciones públicas, incluido el SPE.</t>
  </si>
  <si>
    <t>* Formularios que solo permiten “hombre” o “mujer” como opciones de sexo.  
*Comunicaciones oficiales dirigidas exclusivamente en masculino (“el ciudadano”, “el usuario”)
*Uso generalizado del lenguaje binario en capacitaciones, instructivos y protocolos.</t>
  </si>
  <si>
    <t>Invisibiliza a personas no binarias, de género fluido o que no se reconocen en categorías tradicionales, afectando directamente su voluntad de participar en procesos de intermediación laboral. Elimina la posibilidad de expresar plenamente la identidad, lo que reduce la confianza institucional y perpetúa la exclusión.</t>
  </si>
  <si>
    <t>* Documentos con lenguaje masculino genérico; 
* Usuarios que reportan sentirse “fuera de lugar” o no identificados en los formularios.</t>
  </si>
  <si>
    <t>• Rediseñar los formularios incluyendo campos abiertos sobre identidad de género y pronombres.
• Sustituir el lenguaje binario por expresiones neutrales e inclusivas (“la persona usuaria”, “quien se postula”).
• Capacitar al personal sobre diversidad sexual y el uso correcto de pronombres.
• Implementar glosarios básicos de términos LGBTIQ+ en materiales de formación y atención.
• Ajustar todos los sistemas digitales (ATS, CRM, formularios en línea) para reconocer otras identidades más allá del binario.</t>
  </si>
  <si>
    <t>2. Negación del nombre identitario</t>
  </si>
  <si>
    <t>La negación del nombre identitario es una práctica institucional que desconoce el derecho a la identidad de género, lo cual representa una forma de violencia simbólica que afecta especialmente a personas trans. El reconocimiento del nombre social no es un favor, es una obligación enmarcada en el principio de trato digno.</t>
  </si>
  <si>
    <t>Al momento de registro o atención, se utiliza el nombre legal en lugar del nombre identitario; los formularios no incluyen campo para pronombres; llamadas en sala de espera con nombres errados.</t>
  </si>
  <si>
    <t>Provoca retraumatización, abandono de procesos, desconfianza hacia la institucionalidad y profundización del estigma. Afecta la salud mental y la disposición de la persona para continuar buscando empleo por medios formales.</t>
  </si>
  <si>
    <t>Casos de personas que no regresan a la agencia; comentarios como “no me sentí respetada”; fallas en el registro de datos personales.</t>
  </si>
  <si>
    <t>• Incluir de forma clara y visible el campo para nombre social y pronombres en todos los formularios.
• Capacitar a los equipos sobre la importancia del reconocimiento identitario.
• Garantizar que el nombre identitario, sea el que se use en toda la atención, documentación y contacto.
• Sensibilizar sobre las implicaciones legales y éticas sobre el no uso del pronombre con el cual se reconoce la persona usuaria. 
• Crear protocolos de atención que promuevan el uso correcto del nombre identitario, desde el ingreso hasta el egreso del servicio.</t>
  </si>
  <si>
    <t>3. Coherencia forzada entre documentos y apariencia</t>
  </si>
  <si>
    <t>La exigencia de correspondencia entre los datos de los documentos legales (nombre, sexo) y la expresión o identidad de género de la persona representa una forma de control institucional. 
Esto desconoce las trayectorias personales de transición, las barreras legales para cambiar documentos, y los contextos de exclusión que impiden el acceso a esos trámites.</t>
  </si>
  <si>
    <t>Negación de inscripción si la apariencia “no coincide” con el sexo registrado en el documento de identificación; cuestionamientos al presentar documentos con nombre legal; llamados a terceros para “confirmar” si se debe aceptar el registro.</t>
  </si>
  <si>
    <t>Limita el acceso al servicio, genera humillación pública, desincentiva la búsqueda de empleo formal y vulnera el derecho a la identidad y la autodeterminación de género.</t>
  </si>
  <si>
    <t>Casos en los que se devuelve a la persona “por no coincidir su foto con su presentación”; comentarios del personal sobre “confusión” o “incongruencia”.</t>
  </si>
  <si>
    <t>• Eliminar requisitos de concordancia entre nombre legal y expresión de género para acceder al servicio.
• Capacitar sobre la importancia del respeto a la presentación personal como expresión identitaria.
• Establecer que la documentación es un medio de validación técnica, no una herramienta de vigilancia identitaria.
• Aplicar el principio de buena fe en la atención a personas trans y no binarias.
• Garantizar privacidad y confidencialidad en el manejo de documentación diversa.</t>
  </si>
  <si>
    <t>4. Invisibilización del enfoque interseccional en los procesos de atención</t>
  </si>
  <si>
    <t>La interseccionalidad reconoce que las personas LGBTIQ+ no viven una única forma de exclusión, sino que sus experiencias están atravesadas por múltiples factores como la clase social, etnia, discapacidad, edad o desplazamiento forzado. Ignorar este cruce de condiciones produce intervenciones homogéneas que no responden a realidades complejas.</t>
  </si>
  <si>
    <t>La agencia trata igual a una mujer lesbiana joven que a una persona trans afrodescendiente víctima del conflicto armado; no se adapta la atención a quienes tienen barreras acumuladas por pobreza, ruralidad o discapacidad.</t>
  </si>
  <si>
    <t>La atención no diferenciada perpetúa las brechas, limita el acceso real a oportunidades laborales y refuerza la exclusión múltiple.</t>
  </si>
  <si>
    <t>Falta de ajustes razonables para personas ubicadas en diferentes aristas de la diversidad; escasa articulación con rutas étnicas o de género; uso de un mismo protocolo para todos los perfiles.</t>
  </si>
  <si>
    <t>• Capacitar sobre enfoque interseccional y análisis de desigualdades acumuladas.
• Adaptar las rutas de atención con base en condiciones específicas de los grupos atendidos.
• Incorporar preguntas situadas que permitan leer trayectorias diferenciadas.
• Articular el SPE con otras rutas institucionales de atención con enfoque integral. 
• Evaluar el impacto de las acciones según múltiples ejes de vulnerabilidad.</t>
  </si>
  <si>
    <t>5. Asociación de la identidad con inestabilidad emocional o baja productividad</t>
  </si>
  <si>
    <t>Este sesgo parte de la idea errada de que las personas LGBTIQ+ son más “conflictivas”, “emocionalmente inestables” o “problemáticas”, lo que genera desconfianza a la hora de contratarlas o vincularlas a programas de empleabilidad. Es una forma de patologización que reduce a la persona a una supuesta fragilidad emocional.</t>
  </si>
  <si>
    <t>Frases como “esa persona siempre tiene dramas”, “son complicados de manejar”, “va a traer problemas en el equipo”; exclusión silenciosa de procesos de liderazgo o empleos de alta demanda por prejuicios sobre estabilidad emocional.</t>
  </si>
  <si>
    <t>Limita las oportunidades de crecimiento, refuerza estigmas, normaliza la violencia psicológica y justifica prácticas discriminatorias bajo discursos de eficiencia.</t>
  </si>
  <si>
    <t>Indicadores de rotación altos sin análisis interseccional; falta de oportunidades de liderazgo para personas LGBTIQ+; ausencia de reportes por acoso o discriminación por miedo a ser estigmatizadas.</t>
  </si>
  <si>
    <t>• Sensibilizar sobre los efectos de la patologización y estigmatización de la diversidad sexual y de género.
• Fomentar ambientes laborales y de formación seguros, con enfoque en salud mental y bienestar.
• Implementar protocolos para prevenir y sancionar la violencia simbólica o psicológica.
• Promover liderazgos diversos y visibilizar referentes positivos dentro de las agencias.
• Desarrollar campañas internas contra el prejuicio emocional asociado a identidades LGBTIQ+.</t>
  </si>
  <si>
    <t>6. Invisibilización de las trayectorias formativas diversas</t>
  </si>
  <si>
    <t>Muchas personas LGBTIQ+ enfrentan exclusión temprana del sistema educativo o trayectorias no lineales debido a violencia escolar, desplazamiento, discriminación o pobreza. No considerar estas realidades lleva a subestimar su potencial y reforzar brechas de acceso.</t>
  </si>
  <si>
    <t>Descalificación de hojas de vida con vacíos en la formación; no reconocimiento de saberes previos no certificados; exigencia de títulos sin flexibilización para experiencias equivalentes.</t>
  </si>
  <si>
    <t>Perpetúa el círculo de exclusión educativa-laboral, invisibiliza talentos, dificulta la inserción laboral formal y limita el acceso a empleos de calidad.</t>
  </si>
  <si>
    <t>Rechazo automático por “falta de formación”; ausencia de preguntas que permitan comprender el contexto de los vacíos formativos; desconocimiento de saberes populares o experiencias comunitarias.</t>
  </si>
  <si>
    <t>• Diseñar mecanismos de validación de saberes empíricos o comunitarios (ejemplo, certificación por competencias). 
• Implementar rutas de nivelación o apoyo educativo para personas con trayectorias interrumpidas.
• Valorar la experiencia como criterio de selección cuando se evidencien exclusiones previas.
• Incluir variables contextuales en el análisis de las hojas de vida y sensibilizar sobre las causas estructurales que impiden el acceso a la educación formal.</t>
  </si>
  <si>
    <t>7. Ausencia de representación y referentes LGBTIQ+ en los contenidos institucionales</t>
  </si>
  <si>
    <t>La falta de representaciones diversas en los materiales visuales, casos de éxito, capacitaciones y comunicaciones institucionales transmite un mensaje de exclusión implícita y refuerza la idea de que las personas LGBTIQ+ no pertenecen o no son visibles dentro del sistema SPE.</t>
  </si>
  <si>
    <t>Materiales de orientación laboral, videos o campañas institucionales donde no hay representación de personas LGBTIQ+; lenguaje neutro que evita mencionar explícitamente a esta población.</t>
  </si>
  <si>
    <t>Genera invisibilidad, desmotivación para participar en procesos, y la percepción de que no hay espacio para su experiencia o aporte en el mundo laboral formal.</t>
  </si>
  <si>
    <t>Ausencia de testimonios diversos; escasa articulación con redes u organizaciones LGBTIQ+; bajo reporte de personas autoidentificadas en los registros.</t>
  </si>
  <si>
    <t>• Incorporar testimonios reales de personas LGBTIQ+ en materiales educativos y promocionales.
• Incluir lenguaje inclusivo y enfoque de diversidad en todas las comunicaciones institucionales.
• Trabajar con organizaciones de base para construir referentes positivos.
• Visibilizar trayectorias exitosas de personas LGBTIQ+ en diversos sectores productivos.</t>
  </si>
  <si>
    <t>8. Falta de capacitación estructural sobre enfoque LGBTIQ+ en el SPE</t>
  </si>
  <si>
    <t>La ausencia de formación continua y estructurada sobre diversidad sexual y de género en las agencias del SPE perpetúa prácticas discriminatorias, reproduce estereotipos y dificulta la implementación efectiva del enfoque diferencial.</t>
  </si>
  <si>
    <t>Formación ocasional o basada solo en fechas conmemorativas; capacitaciones sin seguimiento; desconocimiento generalizado de términos básicos como orientación sexual, identidad de género o interseccionalidad.</t>
  </si>
  <si>
    <t>Mantiene la reproducción de prácticas excluyentes, bloquea los canales de denuncia efectiva y limita la calidad de la atención a la población LGBTIQ+.</t>
  </si>
  <si>
    <t>Inseguridad al interactuar con personas LGBTIQ+; respuestas evasivas ante situaciones de discriminación; poca apropiación del enfoque en el lenguaje cotidiano.</t>
  </si>
  <si>
    <t>• Implementar un plan de formación obligatorio y progresivo en diversidad sexual y de género.
• Garantizar el acompañamiento de organizaciones expertas y vocerías LGBTIQ+.
• Evaluar los impactos de la formación en la calidad de atención y toma de decisiones.
• Incluir módulos sobre interseccionalidad, derechos humanos y lenguaje inclusivo.</t>
  </si>
  <si>
    <t>9. Discriminación estructural en la intermediación con empleadores</t>
  </si>
  <si>
    <t>El SPE no solo orienta, también media entre personas buscadoras de empleo y empleadores. Cuando no hay filtros ni acciones para contener prácticas discriminatorias en las empresas, se termina reproduciendo la exclusión.</t>
  </si>
  <si>
    <t>Envío de perfiles donde se oculta la identidad de la persona LGBTIQ+ por temor al rechazo; tolerancia a comentarios transfóbicos en procesos de reclutamiento; ausencia de cláusulas de no discriminación en convenios.</t>
  </si>
  <si>
    <t>Crea un sistema de exclusión indirecta, refuerza el closet laboral, genera autocensura y reduce la confianza en el acompañamiento institucional.</t>
  </si>
  <si>
    <t>Alta deserción en la etapa de entrevistas con empresas; falta de retroalimentación sobre razones de no contratación; silencio institucional ante conductas discriminatorias externas.</t>
  </si>
  <si>
    <t>• Establecer cláusulas explícitas de no discriminación en los convenios con empleadores.
• Identificar empresas aliadas con buenas prácticas y evitar la intermediación con actores discriminatorios.
• Ofrecer acompañamiento especializado en procesos de entrevista.
• Sensibilizar a empleadores sobre el valor de la diversidad en el entorno laboral.</t>
  </si>
  <si>
    <t>10. Invisibilización del contexto familiar, comunitario y de redes de apoyo</t>
  </si>
  <si>
    <t>El contexto relacional de muchas personas LGBTIQ+ puede estar marcado por el rechazo, la violencia o el abandono, lo cual afecta su estabilidad emocional, económica y social. Ignorar estos factores profundiza las barreras para su inclusión laboral.</t>
  </si>
  <si>
    <t>Falta de preguntas o rutas que aborden la situación de redes de apoyo; asesoría sin reconocer que la persona puede estar desvinculada de su entorno familiar o en situación de riesgo social.</t>
  </si>
  <si>
    <t>Refuerza la soledad institucional, impide conectar con recursos reales de apoyo y bloquea rutas de acompañamiento integral.</t>
  </si>
  <si>
    <t>Testimonios de personas que no tienen con quién dejar a sus hijes, que enfrentan violencia intrafamiliar, o que están en situación de calle o refugio.</t>
  </si>
  <si>
    <t>• Incluir en el diagnóstico de empleabilidad preguntas sobre redes de apoyo y contexto social.
• Articular con programas de protección social, vivienda, salud mental y apoyo psicosocial.
• Evitar suposiciones sobre el respaldo familiar como un hecho dado.
• Fortalecer el enfoque comunitario en los procesos de orientación e intermediación.</t>
  </si>
  <si>
    <t>Cuestionario de autodiagnóstico en inclusión laboral LGBTIQ+ para Agencias de Empleo</t>
  </si>
  <si>
    <t>El reconocimiento y uso del nombre identitario y pronombres está incorporado en todos los sistemas, documentos, comunicaciones y procesos de gestión de personas, con protocolos formales y seguimiento.</t>
  </si>
  <si>
    <t>Existen avances parciales (por ejemplo, en algunos documentos o sistemas), pero la aplicación no es consistente en toda la organización o no cuenta con protocolo formal.</t>
  </si>
  <si>
    <t>No existe reconocimiento formal ni aplicación consistente; el uso del nombre identitario y pronombres depende de acciones aisladas o iniciativas individuales.</t>
  </si>
  <si>
    <t>Existen protocolos institucionales específicos para el trato digno a personas LGBTIQ+, conocidos y aplicados de forma consistente por todo el personal, con mecanismos de seguimiento y mejora continua.</t>
  </si>
  <si>
    <t>Hay lineamientos o prácticas internas que orientan el trato inclusivo hacia personas LGBTIQ+, pero no están formalizados como protocolo o su aplicación no es sistemática.</t>
  </si>
  <si>
    <t>No existen protocolos formales; las acciones dependen de la iniciativa individual o de capacitaciones esporádicas, sin respaldo institucional ni seguimiento.</t>
  </si>
  <si>
    <t>Se han identificado casos o situaciones de discriminación, existe un registro formal, se han activado rutas institucionales de atención y se realiza seguimiento para evitar reincidencias.</t>
  </si>
  <si>
    <t>Se han detectado situaciones de trato inadecuado o microagresiones, pero el registro y/o las acciones de seguimiento son parciales o informales.</t>
  </si>
  <si>
    <t>No se han identificado casos y no existen mecanismos formales para la denuncia, registro o seguimiento de situaciones de discriminación.</t>
  </si>
  <si>
    <t>¿La organización cuenta con mecanismos claros y accesibles para reportar actos de discriminación hacia personas LGBTIQ+ en los procesos de atención o intermediación laboral?</t>
  </si>
  <si>
    <t>Existe un protocolo formal y difundido, con canales accesibles (digitales o presenciales), personal capacitado y un sistema de seguimiento que garantiza acciones correctivas.</t>
  </si>
  <si>
    <t>Hay canales o prácticas para recibir reportes, pero no están formalizados en un protocolo o carecen de seguimiento sistemático.</t>
  </si>
  <si>
    <t>No existen mecanismos específicos para reportar situaciones de discriminación hacia personas LGBTIQ+.</t>
  </si>
  <si>
    <t>¿Cuál es el nivel de capacitación y sensibilización del personal para brindar atención respetuosa y libre de sesgos hacia personas LGBTIQ+?</t>
  </si>
  <si>
    <t>El personal cuenta con formación estructurada y actualizada en diversidad e inclusión LGBTIQ+, aplica de forma consistente prácticas respetuosas y demuestra alta sensibilización en todas las interacciones.</t>
  </si>
  <si>
    <t>El personal presenta avances y disposición, pero la capacitación ha sido puntual o no se aplica de manera uniforme en todos los casos.</t>
  </si>
  <si>
    <t>No se ha brindado formación específica o esta es insuficiente; persisten desconocimiento y prácticas que pueden resultar discriminatorias o excluyentes.</t>
  </si>
  <si>
    <t>Existe un protocolo institucional vigente, formalizado y difundido; todo el personal lo conoce, se aplica de forma consistente y cuenta con mecanismos de seguimiento y mejora.</t>
  </si>
  <si>
    <t>Hay lineamientos o iniciativas puntuales para prevenir o atender la discriminación, pero no constituyen un protocolo integral ni se aplican de forma uniforme.</t>
  </si>
  <si>
    <t>No se dispone de un protocolo ni de lineamientos claros para prevenir o atender la discriminación por orientación sexual, identidad o expresión de género.</t>
  </si>
  <si>
    <t>Los procesos están formalmente diseñados y documentados para identificar y responder a casos de discriminación múltiple; se aplican de manera consistente y con seguimiento.</t>
  </si>
  <si>
    <t>Se han realizado ajustes puntuales en algunos procesos para atender discriminación múltiple, pero no existe una aplicación sistemática ni mecanismos de evaluación.</t>
  </si>
  <si>
    <t>No se han implementado ajustes concretos para abordar la discriminación interseccional, aunque se reconozca su importancia.</t>
  </si>
  <si>
    <t>¿Qué nivel de formación ha recibido el personal de atención y orientación laboral en temas de diversidad sexual, identidades de género y enfoque diferencial LGBTIQ+?</t>
  </si>
  <si>
    <t>El personal ha participado en programas de formación periódicos y estructurados, con contenidos técnicos y experienciales sobre diversidad sexual, identidades de género y enfoque diferencial LGBTIQ+, aplicando lo aprendido de manera consistente.</t>
  </si>
  <si>
    <t>Se han realizado sesiones introductorias o generales sobre el tema, pero sin una continuidad ni profundización suficiente para garantizar cambios sostenibles en la práctica.</t>
  </si>
  <si>
    <t>No se han desarrollado procesos formativos específicos sobre diversidad sexual, identidades de género o enfoque diferencial LGBTIQ+.</t>
  </si>
  <si>
    <t>Existen políticas, lineamientos o iniciativas relacionadas con la inclusión LGBTIQ+, pero su aplicación es parcial, no sistemática o depende de esfuerzos individuales.</t>
  </si>
  <si>
    <t>No se cuenta con herramientas, conocimientos ni acciones específicas para garantizar un enfoque diferencial en la atención a personas LGBTIQ+.</t>
  </si>
  <si>
    <t>Se realizan evaluaciones periódicas con indicadores claros, desagregados por identidad de género y orientación sexual, y los resultados se utilizan para ajustar y mejorar las estrategias de inclusión laboral.</t>
  </si>
  <si>
    <t>Se han realizado ejercicios de seguimiento o evaluación, pero sin un sistema consolidado ni indicadores específicos para población LGBTIQ+.</t>
  </si>
  <si>
    <t>No se evalúa el impacto de las acciones ni existen mecanismos de seguimiento con enfoque diferencial.</t>
  </si>
  <si>
    <t>La agencia presenta un nivel bajo de conocimiento y aplicación de prácticas de diversidad e inclusión LGBTIQ+ en sus procesos de atención, orientación, perfilamiento e intermediación laboral. No cuenta con políticas específicas ni protocolos formales; las rutas de servicio se desarrollan de forma “neutra” sin contemplar ajustes diferenciales para esta población.</t>
  </si>
  <si>
    <t>*No existe política institucional de inclusión LGBTIQ+ ni responsables designados para su implementación.
*Los procesos de registro, orientación y remisión no utilizan lenguaje inclusivo ni contemplan canales accesibles y seguros para la población LGBTIQ+.
*Las entrevistas y orientaciones se realizan sin guías estandarizadas con enfoque diferencial, quedando a criterio de cada orientador/a.
*El proceso de formalización de la vinculación laboral no reconoce el nombre sentido de las personas trans o no binarias.
*No existen canales de denuncia ni protocolos para atender casos de discriminación hacia personas LGBTIQ+ en los servicios de intermediación.
*No se miden indicadores relacionados con el acceso y la inclusión laboral de personas LGBTIQ+.</t>
  </si>
  <si>
    <t>La agencia presenta algunos avances en la inclusión LGBTIQ+, generalmente a través de políticas generales, acciones puntuales o iniciativas piloto. Existen ajustes informales en la atención y orientación laboral, pero todavía falta una integración transversal del enfoque diferencial, estructura formal y mecanismos sistemáticos de medición y mejora.</t>
  </si>
  <si>
    <t>*Políticas generales de inclusión que mencionan la diversidad, pero sin acciones específicas para la población LGBTIQ+ en los procesos de orientación, perfilamiento e intermediación laboral.
*Algunos procedimientos o comunicaciones hacia personas usuarias incorporan lenguaje inclusivo y canales diversos, pero de forma no sistemática.
*Capacitaciones o sensibilizaciones puntuales sobre diversidad sexual e identidades de género, sin un plan anual estructurado.
*Ajustes informales para el uso del nombre sentido durante el registro o la remisión laboral, sin protocolo formalizado.
*Canal general para reportes o quejas, sin enfoque específico en diversidad e inclusión.
*Comunicación sobre diversidad limitada a fechas conmemorativas puntuales.
*Ausencia de indicadores consolidados y de revisiones sistemáticas para identificar sesgos en la atención o intermediación laboral.</t>
  </si>
  <si>
    <t>La agencia cuenta con una política explícita LGBTIQ+ vigente y divulgada, con responsables designados, recursos asignados y protocolos formalizados. El enfoque diferencial está integrado en la estrategia institucional y en todos los procesos de orientación, perfilamiento e intermediación laboral. Se monitorea mediante indicadores específicos, generando impacto medible en la inclusión laboral de personas LGBTIQ+.</t>
  </si>
  <si>
    <t>*Política LGBTIQ+ explícita con metas, indicadores y responsables para su cumplimiento.
*Estrategias de vinculación con canales diversos, uso sistemático de lenguaje inclusivo y alianzas con redes y organizaciones LGBTIQ+.
*Protocolos formales de atención y orientación inclusiva, con formación periódica del personal para su correcta aplicación.
*Reconocimiento formal y garantizado del nombre sentido y datos identitarios en todos los sistemas internos y comunicaciones con personas usuarias.
*Canales confidenciales y protocolos claros para reportar y atender casos de discriminación, con seguimiento documentado.
*Revisión sistemática de sesgos en la intermediación laboral, derivación de vacantes y evaluación del desempeño del personal.
*Inclusión de criterios de diversidad en los convenios y acuerdos con empleadores aliados</t>
  </si>
  <si>
    <t>Seleccione en la columna “Respuesta” la opción que más se ajuste a la situación actual de su Agencia de Empleo.</t>
  </si>
  <si>
    <t>Este cuestionario le permitirá evaluar de manera rápida y estructurada su nivel de madurez en la inclusión laboral de personas LGBTIQ+.</t>
  </si>
  <si>
    <t>Al finalizar, el puntaje total ubicará a su Agencia de Empleo, en uno de los tres niveles: Inicial, Intermedio o Avanzado.</t>
  </si>
  <si>
    <t>¿Actualmente, cuenta con protocolos formales que garanticen el trato digno, respetuoso y libre de discriminación hacia personas LGBTIQ+ en todos los procesos de gestión del talento humano?</t>
  </si>
  <si>
    <t>¿Dentro de sus procesos, identifica, registra y gestiona adecuadamente situaciones de discriminación o trato inadecuado hacia personas LGBTIQ+ durante la atención o acompañamiento laboral?</t>
  </si>
  <si>
    <t>¿Cuentan con un protocolo específico para prevenir y atender situaciones de discriminación hacia personas LGBTIQ+ en el proceso de intermediación laboral?</t>
  </si>
  <si>
    <t>¿Adaptan sus procesos de atención y orientación laboral para abordar las múltiples formas de discriminación que pueden afectar a las personas LGBTIQ+ (por ejemplo: etnia, discapacidad, situación migratoria o desplazamiento)?</t>
  </si>
  <si>
    <t>En general, ¿cuál es el nivel de preparación institucional dentro de la Agencia, para atender con enfoque diferencial e inclusivo a personas LGBTIQ+ en los procesos de orientación, perfilamiento e intermediación laboral?</t>
  </si>
  <si>
    <t>¿Se evalúa periódicamente el impacto de sus acciones orientadas a la inclusión laboral de personas LGBTIQ+?</t>
  </si>
  <si>
    <t>Se cuenta con un enfoque diferencial LGBTIQ+ consolidado, transversal e institucionalizado, respaldado por políticas, procedimientos y acciones coordinadas que se aplican de forma consistente en todos los procesos.</t>
  </si>
  <si>
    <t>¿En los protocolos de la Agencia o Bolsa de empleo, se garantiza el reconocimiento y uso del nombre identitario y pronombres de las personas LGBTIQ+ en todos los procesos internos y externos relacionados con la vinculación y gestión del talento?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</si>
</sst>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4"/>
      <color theme="1"/>
      <name val="Century Gothic"/>
      <family val="2"/>
    </font>
    <font>
      <b/>
      <sz val="11"/>
      <color theme="1"/>
      <name val="Century Gothic"/>
      <family val="2"/>
    </font>
    <font>
      <sz val="11"/>
      <color theme="1"/>
      <name val="Century Gothic"/>
      <family val="2"/>
    </font>
    <font>
      <b/>
      <sz val="10"/>
      <color theme="1"/>
      <name val="Century Gothic"/>
      <family val="2"/>
    </font>
    <font>
      <sz val="10"/>
      <color theme="1"/>
      <name val="Century Gothic"/>
      <family val="2"/>
    </font>
    <font>
      <b/>
      <sz val="12"/>
      <color rgb="FF000000"/>
      <name val="Century Gothic"/>
      <family val="2"/>
    </font>
    <font>
      <sz val="12"/>
      <color rgb="FF000000"/>
      <name val="Century Gothic"/>
      <family val="2"/>
    </font>
    <font>
      <b/>
      <sz val="14"/>
      <color rgb="FF000000"/>
      <name val="Century Gothic"/>
      <family val="2"/>
    </font>
    <font>
      <sz val="14"/>
      <color theme="1"/>
      <name val="Century Gothic"/>
      <family val="2"/>
    </font>
    <font>
      <sz val="12"/>
      <color theme="1"/>
      <name val="Century Gothic"/>
      <family val="2"/>
    </font>
  </fonts>
  <fills count="7">
    <fill>
      <patternFill patternType="none"/>
    </fill>
    <fill>
      <patternFill patternType="gray125"/>
    </fill>
    <fill>
      <patternFill patternType="solid">
        <fgColor rgb="FF00B0F0"/>
        <bgColor indexed="64"/>
      </patternFill>
    </fill>
    <fill>
      <patternFill patternType="solid">
        <fgColor rgb="FFF7A09E"/>
        <bgColor indexed="64"/>
      </patternFill>
    </fill>
    <fill>
      <patternFill patternType="solid">
        <fgColor rgb="FFEEDD82"/>
        <bgColor indexed="64"/>
      </patternFill>
    </fill>
    <fill>
      <patternFill patternType="solid">
        <fgColor rgb="FF46B65C"/>
        <bgColor indexed="64"/>
      </patternFill>
    </fill>
    <fill>
      <patternFill patternType="solid">
        <fgColor rgb="FF61CBF3"/>
        <bgColor rgb="FF0000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indexed="64"/>
      </top>
      <bottom style="thin">
        <color indexed="64"/>
      </bottom>
      <diagonal/>
    </border>
  </borders>
  <cellStyleXfs count="1">
    <xf numFmtId="0" fontId="0" fillId="0" borderId="0"/>
  </cellStyleXfs>
  <cellXfs count="68">
    <xf numFmtId="0" fontId="0" fillId="0" borderId="0" xfId="0"/>
    <xf numFmtId="0" fontId="1" fillId="0" borderId="1" xfId="0" applyFont="1" applyBorder="1"/>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horizontal="justify" vertical="center" wrapText="1"/>
    </xf>
    <xf numFmtId="0" fontId="0" fillId="0" borderId="0" xfId="0" applyAlignment="1">
      <alignment horizontal="justify"/>
    </xf>
    <xf numFmtId="0" fontId="1" fillId="0" borderId="1" xfId="0" applyFont="1" applyBorder="1" applyAlignment="1">
      <alignment horizontal="justify"/>
    </xf>
    <xf numFmtId="0" fontId="1" fillId="0" borderId="0" xfId="0" applyFont="1" applyAlignment="1">
      <alignment vertical="center"/>
    </xf>
    <xf numFmtId="0" fontId="5" fillId="0" borderId="0" xfId="0" applyFont="1" applyAlignment="1">
      <alignment horizontal="center" vertical="center"/>
    </xf>
    <xf numFmtId="0" fontId="5"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6" fillId="0" borderId="0" xfId="0" applyFont="1" applyAlignment="1">
      <alignment horizontal="justify" vertical="center" wrapText="1"/>
    </xf>
    <xf numFmtId="0" fontId="5" fillId="0" borderId="1" xfId="0" applyFont="1" applyBorder="1" applyAlignment="1">
      <alignment horizontal="justify" vertical="center"/>
    </xf>
    <xf numFmtId="0" fontId="6" fillId="0" borderId="1" xfId="0" applyFont="1" applyBorder="1" applyAlignment="1">
      <alignment horizontal="justify" vertical="center"/>
    </xf>
    <xf numFmtId="0" fontId="5" fillId="0" borderId="1" xfId="0" applyFont="1" applyBorder="1" applyAlignment="1">
      <alignment horizontal="justify" wrapText="1"/>
    </xf>
    <xf numFmtId="0" fontId="6" fillId="0" borderId="1" xfId="0" applyFont="1" applyBorder="1" applyAlignment="1">
      <alignment horizontal="justify" wrapText="1"/>
    </xf>
    <xf numFmtId="0" fontId="5" fillId="0" borderId="1" xfId="0" applyFont="1" applyBorder="1" applyAlignment="1">
      <alignment horizontal="center" vertical="center" wrapText="1"/>
    </xf>
    <xf numFmtId="0" fontId="5" fillId="0" borderId="1" xfId="0" applyFont="1" applyBorder="1" applyAlignment="1">
      <alignment horizontal="justify"/>
    </xf>
    <xf numFmtId="0" fontId="5" fillId="0" borderId="1" xfId="0" applyFont="1" applyBorder="1" applyAlignment="1">
      <alignment wrapText="1"/>
    </xf>
    <xf numFmtId="0" fontId="6" fillId="0" borderId="1" xfId="0" applyFont="1" applyBorder="1" applyAlignment="1">
      <alignment wrapText="1"/>
    </xf>
    <xf numFmtId="0" fontId="5" fillId="0" borderId="0" xfId="0" applyFont="1" applyAlignment="1">
      <alignment horizontal="justify" vertical="center" wrapText="1"/>
    </xf>
    <xf numFmtId="0" fontId="2" fillId="0" borderId="0" xfId="0" applyFont="1" applyAlignment="1">
      <alignment vertical="center"/>
    </xf>
    <xf numFmtId="0" fontId="4" fillId="0" borderId="0" xfId="0" applyFont="1"/>
    <xf numFmtId="0" fontId="3" fillId="0" borderId="0" xfId="0" applyFont="1"/>
    <xf numFmtId="0" fontId="4" fillId="0" borderId="0" xfId="0" applyFont="1" applyAlignment="1">
      <alignment horizontal="justify"/>
    </xf>
    <xf numFmtId="0" fontId="4" fillId="0" borderId="0" xfId="0" applyFont="1" applyAlignment="1">
      <alignment horizontal="justify" vertical="center"/>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xf>
    <xf numFmtId="0" fontId="1" fillId="4" borderId="1" xfId="0" applyFont="1" applyFill="1" applyBorder="1" applyAlignment="1">
      <alignment horizontal="center" vertic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0" fillId="0" borderId="1" xfId="0" applyBorder="1" applyAlignment="1">
      <alignment horizontal="justify" vertical="top" wrapText="1"/>
    </xf>
    <xf numFmtId="0" fontId="7" fillId="0" borderId="8" xfId="0" applyFont="1" applyBorder="1" applyAlignment="1">
      <alignment horizontal="left" vertical="center" wrapText="1"/>
    </xf>
    <xf numFmtId="0" fontId="9" fillId="6" borderId="8"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8" fillId="0" borderId="5" xfId="0" applyFont="1" applyBorder="1" applyAlignment="1">
      <alignment horizontal="justify" vertical="top" wrapText="1"/>
    </xf>
    <xf numFmtId="0" fontId="11" fillId="0" borderId="0" xfId="0" applyFont="1" applyAlignment="1">
      <alignment vertical="top"/>
    </xf>
    <xf numFmtId="0" fontId="11" fillId="0" borderId="0" xfId="0" applyFont="1" applyAlignment="1">
      <alignment vertical="center"/>
    </xf>
    <xf numFmtId="0" fontId="10" fillId="0" borderId="0" xfId="0" applyFont="1" applyAlignment="1">
      <alignment vertical="center"/>
    </xf>
    <xf numFmtId="0" fontId="2" fillId="0" borderId="0" xfId="0" applyFont="1" applyAlignment="1">
      <alignment horizontal="center" vertical="center"/>
    </xf>
    <xf numFmtId="0" fontId="4" fillId="0" borderId="0" xfId="0" applyFont="1" applyAlignment="1">
      <alignment horizontal="center"/>
    </xf>
    <xf numFmtId="0" fontId="5" fillId="2" borderId="1" xfId="0" applyFont="1" applyFill="1" applyBorder="1" applyAlignment="1">
      <alignment horizont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6" fillId="0" borderId="1" xfId="0" applyFont="1" applyBorder="1" applyAlignment="1">
      <alignment horizontal="justify" vertical="center" wrapText="1"/>
    </xf>
    <xf numFmtId="0" fontId="5" fillId="2" borderId="0" xfId="0" applyFont="1" applyFill="1" applyAlignment="1">
      <alignment horizont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0" borderId="0" xfId="0" applyFont="1" applyAlignment="1">
      <alignment horizontal="center" vertic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0" borderId="0" xfId="0" applyFont="1" applyAlignment="1">
      <alignment horizontal="center" vertical="center" wrapText="1"/>
    </xf>
    <xf numFmtId="0" fontId="1" fillId="3" borderId="6"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4" borderId="6" xfId="0" applyFont="1" applyFill="1" applyBorder="1" applyAlignment="1">
      <alignment horizontal="center" vertical="center"/>
    </xf>
    <xf numFmtId="0" fontId="1" fillId="4" borderId="8"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8"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3" xfId="0" applyFont="1" applyFill="1" applyBorder="1" applyAlignment="1">
      <alignment horizontal="center" vertical="center"/>
    </xf>
  </cellXfs>
  <cellStyles count="1">
    <cellStyle name="Normal" xfId="0" builtinId="0"/>
  </cellStyles>
  <dxfs count="2">
    <dxf>
      <font>
        <color rgb="FF9C0006"/>
      </font>
      <fill>
        <patternFill>
          <bgColor rgb="FFFFC7CE"/>
        </patternFill>
      </fill>
    </dxf>
    <dxf>
      <font>
        <color rgb="FF9C5700"/>
      </font>
      <fill>
        <patternFill>
          <bgColor rgb="FFFFEB9C"/>
        </patternFill>
      </fill>
    </dxf>
  </dxfs>
  <tableStyles count="0" defaultTableStyle="TableStyleMedium9" defaultPivotStyle="PivotStyleLight16"/>
  <colors>
    <mruColors>
      <color rgb="FF46B65C"/>
      <color rgb="FFEEDD82"/>
      <color rgb="FFF7A0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381001</xdr:colOff>
      <xdr:row>0</xdr:row>
      <xdr:rowOff>152400</xdr:rowOff>
    </xdr:from>
    <xdr:to>
      <xdr:col>1</xdr:col>
      <xdr:colOff>3530601</xdr:colOff>
      <xdr:row>2</xdr:row>
      <xdr:rowOff>266700</xdr:rowOff>
    </xdr:to>
    <xdr:sp macro="" textlink="">
      <xdr:nvSpPr>
        <xdr:cNvPr id="2" name="Google Shape;174;p1">
          <a:extLst>
            <a:ext uri="{FF2B5EF4-FFF2-40B4-BE49-F238E27FC236}">
              <a16:creationId xmlns:a16="http://schemas.microsoft.com/office/drawing/2014/main" id="{C40F6C40-4292-1EEE-B383-587E0983F596}"/>
            </a:ext>
          </a:extLst>
        </xdr:cNvPr>
        <xdr:cNvSpPr/>
      </xdr:nvSpPr>
      <xdr:spPr>
        <a:xfrm>
          <a:off x="1257301" y="152400"/>
          <a:ext cx="3149600" cy="850900"/>
        </a:xfrm>
        <a:custGeom>
          <a:avLst/>
          <a:gdLst/>
          <a:ahLst/>
          <a:cxnLst/>
          <a:rect l="l" t="t" r="r" b="b"/>
          <a:pathLst>
            <a:path w="5451475" h="1637538" extrusionOk="0">
              <a:moveTo>
                <a:pt x="0" y="0"/>
              </a:moveTo>
              <a:lnTo>
                <a:pt x="5451475" y="0"/>
              </a:lnTo>
              <a:lnTo>
                <a:pt x="5451475" y="1637538"/>
              </a:lnTo>
              <a:lnTo>
                <a:pt x="0" y="1637538"/>
              </a:lnTo>
              <a:lnTo>
                <a:pt x="0" y="0"/>
              </a:lnTo>
              <a:close/>
            </a:path>
          </a:pathLst>
        </a:custGeom>
        <a:blipFill rotWithShape="1">
          <a:blip xmlns:r="http://schemas.openxmlformats.org/officeDocument/2006/relationships" r:embed="rId1">
            <a:alphaModFix/>
          </a:blip>
          <a:stretch>
            <a:fillRect l="-8" r="-6"/>
          </a:stretch>
        </a:blipFill>
        <a:ln>
          <a:noFill/>
        </a:ln>
      </xdr:spPr>
      <xdr:txBody>
        <a:bodyPr spcFirstLastPara="1" wrap="square" lIns="91425" tIns="45700" rIns="91425" bIns="45700"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800"/>
            <a:buFont typeface="Arial"/>
            <a:buNone/>
          </a:pPr>
          <a:endParaRPr sz="1800" b="0" i="0" u="none" strike="noStrike" cap="none">
            <a:solidFill>
              <a:schemeClr val="dk1"/>
            </a:solidFill>
            <a:latin typeface="Calibri"/>
            <a:ea typeface="Calibri"/>
            <a:cs typeface="Calibri"/>
            <a:sym typeface="Calibri"/>
          </a:endParaRPr>
        </a:p>
      </xdr:txBody>
    </xdr:sp>
    <xdr:clientData/>
  </xdr:twoCellAnchor>
  <xdr:twoCellAnchor>
    <xdr:from>
      <xdr:col>1</xdr:col>
      <xdr:colOff>8763000</xdr:colOff>
      <xdr:row>0</xdr:row>
      <xdr:rowOff>254000</xdr:rowOff>
    </xdr:from>
    <xdr:to>
      <xdr:col>1</xdr:col>
      <xdr:colOff>10756900</xdr:colOff>
      <xdr:row>2</xdr:row>
      <xdr:rowOff>130361</xdr:rowOff>
    </xdr:to>
    <xdr:sp macro="" textlink="">
      <xdr:nvSpPr>
        <xdr:cNvPr id="3" name="Google Shape;175;p1">
          <a:extLst>
            <a:ext uri="{FF2B5EF4-FFF2-40B4-BE49-F238E27FC236}">
              <a16:creationId xmlns:a16="http://schemas.microsoft.com/office/drawing/2014/main" id="{971DC27E-C560-9B5A-AB4C-F32FAA818335}"/>
            </a:ext>
          </a:extLst>
        </xdr:cNvPr>
        <xdr:cNvSpPr/>
      </xdr:nvSpPr>
      <xdr:spPr>
        <a:xfrm>
          <a:off x="9639300" y="254000"/>
          <a:ext cx="1993900" cy="612961"/>
        </a:xfrm>
        <a:custGeom>
          <a:avLst/>
          <a:gdLst/>
          <a:ahLst/>
          <a:cxnLst/>
          <a:rect l="l" t="t" r="r" b="b"/>
          <a:pathLst>
            <a:path w="2847010" h="1057461" extrusionOk="0">
              <a:moveTo>
                <a:pt x="0" y="0"/>
              </a:moveTo>
              <a:lnTo>
                <a:pt x="2847011" y="0"/>
              </a:lnTo>
              <a:lnTo>
                <a:pt x="2847011" y="1057461"/>
              </a:lnTo>
              <a:lnTo>
                <a:pt x="0" y="1057461"/>
              </a:lnTo>
              <a:lnTo>
                <a:pt x="0" y="0"/>
              </a:lnTo>
              <a:close/>
            </a:path>
          </a:pathLst>
        </a:custGeom>
        <a:blipFill rotWithShape="1">
          <a:blip xmlns:r="http://schemas.openxmlformats.org/officeDocument/2006/relationships" r:embed="rId2">
            <a:alphaModFix/>
          </a:blip>
          <a:stretch>
            <a:fillRect/>
          </a:stretch>
        </a:blipFill>
        <a:ln>
          <a:noFill/>
        </a:ln>
      </xdr:spPr>
      <xdr:txBody>
        <a:bodyPr spcFirstLastPara="1" wrap="square" lIns="91425" tIns="45700" rIns="91425" bIns="45700"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800"/>
            <a:buFont typeface="Arial"/>
            <a:buNone/>
          </a:pPr>
          <a:endParaRPr sz="1800" b="0" i="0" u="none" strike="noStrike" cap="none">
            <a:solidFill>
              <a:schemeClr val="dk1"/>
            </a:solidFill>
            <a:latin typeface="Calibri"/>
            <a:ea typeface="Calibri"/>
            <a:cs typeface="Calibri"/>
            <a:sym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2730500</xdr:colOff>
      <xdr:row>2</xdr:row>
      <xdr:rowOff>38100</xdr:rowOff>
    </xdr:to>
    <xdr:sp macro="" textlink="">
      <xdr:nvSpPr>
        <xdr:cNvPr id="2" name="Google Shape;174;p1">
          <a:extLst>
            <a:ext uri="{FF2B5EF4-FFF2-40B4-BE49-F238E27FC236}">
              <a16:creationId xmlns:a16="http://schemas.microsoft.com/office/drawing/2014/main" id="{B8C9510A-1019-0849-AF37-8679B9330A95}"/>
            </a:ext>
          </a:extLst>
        </xdr:cNvPr>
        <xdr:cNvSpPr/>
      </xdr:nvSpPr>
      <xdr:spPr>
        <a:xfrm>
          <a:off x="876300" y="0"/>
          <a:ext cx="3149600" cy="850900"/>
        </a:xfrm>
        <a:custGeom>
          <a:avLst/>
          <a:gdLst/>
          <a:ahLst/>
          <a:cxnLst/>
          <a:rect l="l" t="t" r="r" b="b"/>
          <a:pathLst>
            <a:path w="5451475" h="1637538" extrusionOk="0">
              <a:moveTo>
                <a:pt x="0" y="0"/>
              </a:moveTo>
              <a:lnTo>
                <a:pt x="5451475" y="0"/>
              </a:lnTo>
              <a:lnTo>
                <a:pt x="5451475" y="1637538"/>
              </a:lnTo>
              <a:lnTo>
                <a:pt x="0" y="1637538"/>
              </a:lnTo>
              <a:lnTo>
                <a:pt x="0" y="0"/>
              </a:lnTo>
              <a:close/>
            </a:path>
          </a:pathLst>
        </a:custGeom>
        <a:blipFill rotWithShape="1">
          <a:blip xmlns:r="http://schemas.openxmlformats.org/officeDocument/2006/relationships" r:embed="rId1">
            <a:alphaModFix/>
          </a:blip>
          <a:stretch>
            <a:fillRect l="-8" r="-6"/>
          </a:stretch>
        </a:blipFill>
        <a:ln>
          <a:noFill/>
        </a:ln>
      </xdr:spPr>
      <xdr:txBody>
        <a:bodyPr spcFirstLastPara="1" wrap="square" lIns="91425" tIns="45700" rIns="91425" bIns="45700"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800"/>
            <a:buFont typeface="Arial"/>
            <a:buNone/>
          </a:pPr>
          <a:endParaRPr sz="1800" b="0" i="0" u="none" strike="noStrike" cap="none">
            <a:solidFill>
              <a:schemeClr val="dk1"/>
            </a:solidFill>
            <a:latin typeface="Calibri"/>
            <a:ea typeface="Calibri"/>
            <a:cs typeface="Calibri"/>
            <a:sym typeface="Calibri"/>
          </a:endParaRPr>
        </a:p>
      </xdr:txBody>
    </xdr:sp>
    <xdr:clientData/>
  </xdr:twoCellAnchor>
  <xdr:twoCellAnchor>
    <xdr:from>
      <xdr:col>2</xdr:col>
      <xdr:colOff>5935980</xdr:colOff>
      <xdr:row>0</xdr:row>
      <xdr:rowOff>165100</xdr:rowOff>
    </xdr:from>
    <xdr:to>
      <xdr:col>3</xdr:col>
      <xdr:colOff>647699</xdr:colOff>
      <xdr:row>1</xdr:row>
      <xdr:rowOff>371661</xdr:rowOff>
    </xdr:to>
    <xdr:sp macro="" textlink="">
      <xdr:nvSpPr>
        <xdr:cNvPr id="3" name="Google Shape;175;p1">
          <a:extLst>
            <a:ext uri="{FF2B5EF4-FFF2-40B4-BE49-F238E27FC236}">
              <a16:creationId xmlns:a16="http://schemas.microsoft.com/office/drawing/2014/main" id="{04EF5697-6208-5947-995A-E04A696D8BCD}"/>
            </a:ext>
          </a:extLst>
        </xdr:cNvPr>
        <xdr:cNvSpPr/>
      </xdr:nvSpPr>
      <xdr:spPr>
        <a:xfrm>
          <a:off x="7063740" y="165100"/>
          <a:ext cx="1310639" cy="610421"/>
        </a:xfrm>
        <a:custGeom>
          <a:avLst/>
          <a:gdLst/>
          <a:ahLst/>
          <a:cxnLst/>
          <a:rect l="l" t="t" r="r" b="b"/>
          <a:pathLst>
            <a:path w="2847010" h="1057461" extrusionOk="0">
              <a:moveTo>
                <a:pt x="0" y="0"/>
              </a:moveTo>
              <a:lnTo>
                <a:pt x="2847011" y="0"/>
              </a:lnTo>
              <a:lnTo>
                <a:pt x="2847011" y="1057461"/>
              </a:lnTo>
              <a:lnTo>
                <a:pt x="0" y="1057461"/>
              </a:lnTo>
              <a:lnTo>
                <a:pt x="0" y="0"/>
              </a:lnTo>
              <a:close/>
            </a:path>
          </a:pathLst>
        </a:custGeom>
        <a:blipFill rotWithShape="1">
          <a:blip xmlns:r="http://schemas.openxmlformats.org/officeDocument/2006/relationships" r:embed="rId2">
            <a:alphaModFix/>
          </a:blip>
          <a:stretch>
            <a:fillRect/>
          </a:stretch>
        </a:blipFill>
        <a:ln>
          <a:noFill/>
        </a:ln>
      </xdr:spPr>
      <xdr:txBody>
        <a:bodyPr spcFirstLastPara="1" wrap="square" lIns="91425" tIns="45700" rIns="91425" bIns="45700"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800"/>
            <a:buFont typeface="Arial"/>
            <a:buNone/>
          </a:pPr>
          <a:endParaRPr sz="1800" b="0" i="0" u="none" strike="noStrike" cap="none">
            <a:solidFill>
              <a:schemeClr val="dk1"/>
            </a:solidFill>
            <a:latin typeface="Calibri"/>
            <a:ea typeface="Calibri"/>
            <a:cs typeface="Calibri"/>
            <a:sym typeface="Calibri"/>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6C2B-960E-400F-B92B-6B95EE8E1621}">
  <dimension ref="A1:K21"/>
  <sheetViews>
    <sheetView workbookViewId="0">
      <selection activeCell="B11" sqref="B11"/>
    </sheetView>
  </sheetViews>
  <sheetFormatPr baseColWidth="10" defaultColWidth="11.5" defaultRowHeight="14" x14ac:dyDescent="0.15"/>
  <cols>
    <col min="1" max="1" width="11.5" style="25"/>
    <col min="2" max="2" width="153.6640625" style="27" customWidth="1"/>
    <col min="3" max="11" width="11.5" style="25"/>
    <col min="12" max="12" width="51.1640625" style="25" customWidth="1"/>
    <col min="13" max="16384" width="11.5" style="25"/>
  </cols>
  <sheetData>
    <row r="1" spans="1:11" ht="29" customHeight="1" x14ac:dyDescent="0.15">
      <c r="B1" s="44"/>
    </row>
    <row r="2" spans="1:11" ht="29" customHeight="1" x14ac:dyDescent="0.15">
      <c r="B2" s="44"/>
    </row>
    <row r="3" spans="1:11" ht="29" customHeight="1" x14ac:dyDescent="0.15">
      <c r="B3" s="44"/>
    </row>
    <row r="5" spans="1:11" ht="15" customHeight="1" x14ac:dyDescent="0.15">
      <c r="B5" s="43" t="s">
        <v>112</v>
      </c>
      <c r="C5" s="24"/>
      <c r="D5" s="24"/>
      <c r="E5" s="24"/>
      <c r="F5" s="24"/>
      <c r="G5" s="24"/>
      <c r="H5" s="24"/>
      <c r="I5" s="24"/>
      <c r="J5" s="24"/>
      <c r="K5" s="24"/>
    </row>
    <row r="6" spans="1:11" ht="15" customHeight="1" x14ac:dyDescent="0.15">
      <c r="B6" s="43"/>
      <c r="C6" s="24"/>
      <c r="D6" s="24"/>
      <c r="E6" s="24"/>
      <c r="F6" s="24"/>
      <c r="G6" s="24"/>
      <c r="H6" s="24"/>
      <c r="I6" s="24"/>
      <c r="J6" s="24"/>
      <c r="K6" s="24"/>
    </row>
    <row r="8" spans="1:11" ht="15" x14ac:dyDescent="0.15">
      <c r="B8" s="27" t="s">
        <v>152</v>
      </c>
    </row>
    <row r="9" spans="1:11" ht="15" x14ac:dyDescent="0.15">
      <c r="B9" s="27" t="s">
        <v>40</v>
      </c>
    </row>
    <row r="11" spans="1:11" ht="15" x14ac:dyDescent="0.15">
      <c r="B11" s="27" t="s">
        <v>36</v>
      </c>
    </row>
    <row r="12" spans="1:11" ht="15" x14ac:dyDescent="0.15">
      <c r="A12" s="26">
        <v>1</v>
      </c>
      <c r="B12" s="27" t="s">
        <v>39</v>
      </c>
    </row>
    <row r="13" spans="1:11" ht="15" x14ac:dyDescent="0.15">
      <c r="A13" s="26">
        <v>2</v>
      </c>
      <c r="B13" s="27" t="s">
        <v>151</v>
      </c>
    </row>
    <row r="14" spans="1:11" ht="15" x14ac:dyDescent="0.15">
      <c r="A14" s="26">
        <v>3</v>
      </c>
      <c r="B14" s="27" t="s">
        <v>38</v>
      </c>
    </row>
    <row r="15" spans="1:11" ht="15" x14ac:dyDescent="0.15">
      <c r="A15" s="26">
        <v>4</v>
      </c>
      <c r="B15" s="27" t="s">
        <v>153</v>
      </c>
    </row>
    <row r="16" spans="1:11" ht="15" x14ac:dyDescent="0.15">
      <c r="A16" s="26">
        <v>5</v>
      </c>
      <c r="B16" s="27" t="s">
        <v>43</v>
      </c>
    </row>
    <row r="17" spans="1:2" ht="15" x14ac:dyDescent="0.15">
      <c r="A17" s="26"/>
      <c r="B17" s="27" t="s">
        <v>44</v>
      </c>
    </row>
    <row r="18" spans="1:2" x14ac:dyDescent="0.15">
      <c r="A18" s="26"/>
    </row>
    <row r="19" spans="1:2" x14ac:dyDescent="0.15">
      <c r="B19" s="28"/>
    </row>
    <row r="20" spans="1:2" ht="15" x14ac:dyDescent="0.15">
      <c r="B20" s="27" t="s">
        <v>41</v>
      </c>
    </row>
    <row r="21" spans="1:2" ht="15" x14ac:dyDescent="0.15">
      <c r="B21" s="27" t="s">
        <v>42</v>
      </c>
    </row>
  </sheetData>
  <mergeCells count="2">
    <mergeCell ref="B5:B6"/>
    <mergeCell ref="B1:B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059B-A79D-48BC-B93F-134A67344FC0}">
  <dimension ref="B1:H82"/>
  <sheetViews>
    <sheetView tabSelected="1" topLeftCell="A67" zoomScale="125" workbookViewId="0">
      <selection activeCell="C11" sqref="C11"/>
    </sheetView>
  </sheetViews>
  <sheetFormatPr baseColWidth="10" defaultColWidth="11.5" defaultRowHeight="15" x14ac:dyDescent="0.2"/>
  <cols>
    <col min="1" max="1" width="11.5" style="3"/>
    <col min="2" max="2" width="5.5" style="9" customWidth="1"/>
    <col min="3" max="3" width="99" style="14" customWidth="1"/>
    <col min="4" max="4" width="11.5" style="9" customWidth="1"/>
    <col min="5" max="16384" width="11.5" style="3"/>
  </cols>
  <sheetData>
    <row r="1" spans="2:8" ht="32" customHeight="1" x14ac:dyDescent="0.2">
      <c r="B1" s="53"/>
      <c r="C1" s="53"/>
      <c r="D1" s="53"/>
    </row>
    <row r="2" spans="2:8" ht="32" customHeight="1" x14ac:dyDescent="0.2">
      <c r="B2" s="53"/>
      <c r="C2" s="53"/>
      <c r="D2" s="53"/>
    </row>
    <row r="3" spans="2:8" ht="12" customHeight="1" x14ac:dyDescent="0.2">
      <c r="B3" s="53"/>
      <c r="C3" s="53"/>
      <c r="D3" s="53"/>
    </row>
    <row r="5" spans="2:8" ht="15" customHeight="1" x14ac:dyDescent="0.2">
      <c r="B5" s="43" t="s">
        <v>112</v>
      </c>
      <c r="C5" s="43"/>
      <c r="D5" s="43"/>
    </row>
    <row r="6" spans="2:8" s="2" customFormat="1" ht="18.75" customHeight="1" x14ac:dyDescent="0.2">
      <c r="B6" s="58" t="s">
        <v>37</v>
      </c>
      <c r="C6" s="58"/>
      <c r="D6" s="58"/>
    </row>
    <row r="7" spans="2:8" x14ac:dyDescent="0.2">
      <c r="C7" s="9"/>
    </row>
    <row r="9" spans="2:8" ht="15" customHeight="1" x14ac:dyDescent="0.2">
      <c r="B9" s="54" t="s">
        <v>1</v>
      </c>
      <c r="C9" s="55"/>
      <c r="D9" s="10" t="s">
        <v>2</v>
      </c>
    </row>
    <row r="10" spans="2:8" ht="42" x14ac:dyDescent="0.2">
      <c r="B10" s="11" t="s">
        <v>0</v>
      </c>
      <c r="C10" s="12" t="s">
        <v>161</v>
      </c>
      <c r="D10" s="46">
        <v>2</v>
      </c>
    </row>
    <row r="11" spans="2:8" ht="28" x14ac:dyDescent="0.2">
      <c r="B11" s="11">
        <v>3</v>
      </c>
      <c r="C11" s="13" t="s">
        <v>113</v>
      </c>
      <c r="D11" s="47"/>
    </row>
    <row r="12" spans="2:8" ht="28" x14ac:dyDescent="0.2">
      <c r="B12" s="11">
        <v>2</v>
      </c>
      <c r="C12" s="13" t="s">
        <v>114</v>
      </c>
      <c r="D12" s="47"/>
    </row>
    <row r="13" spans="2:8" ht="28" x14ac:dyDescent="0.2">
      <c r="B13" s="11">
        <v>1</v>
      </c>
      <c r="C13" s="13" t="s">
        <v>115</v>
      </c>
      <c r="D13" s="48"/>
    </row>
    <row r="16" spans="2:8" s="2" customFormat="1" ht="15" customHeight="1" x14ac:dyDescent="0.2">
      <c r="B16" s="56" t="s">
        <v>3</v>
      </c>
      <c r="C16" s="57"/>
      <c r="D16" s="10" t="s">
        <v>2</v>
      </c>
      <c r="H16" s="2" t="str">
        <f>IF(LEFT(G16,1)="3",3,IF(LEFT(G16,1)="2",2,IF(LEFT(G16,1)="1",1,"")))</f>
        <v/>
      </c>
    </row>
    <row r="17" spans="2:4" ht="28" x14ac:dyDescent="0.2">
      <c r="B17" s="11" t="s">
        <v>4</v>
      </c>
      <c r="C17" s="12" t="s">
        <v>154</v>
      </c>
      <c r="D17" s="46">
        <v>1</v>
      </c>
    </row>
    <row r="18" spans="2:4" ht="28" x14ac:dyDescent="0.2">
      <c r="B18" s="11">
        <v>3</v>
      </c>
      <c r="C18" s="13" t="s">
        <v>116</v>
      </c>
      <c r="D18" s="47"/>
    </row>
    <row r="19" spans="2:4" ht="28" x14ac:dyDescent="0.2">
      <c r="B19" s="11">
        <v>2</v>
      </c>
      <c r="C19" s="13" t="s">
        <v>117</v>
      </c>
      <c r="D19" s="47"/>
    </row>
    <row r="20" spans="2:4" ht="28" x14ac:dyDescent="0.2">
      <c r="B20" s="11">
        <v>1</v>
      </c>
      <c r="C20" s="13" t="s">
        <v>118</v>
      </c>
      <c r="D20" s="48"/>
    </row>
    <row r="23" spans="2:4" s="2" customFormat="1" x14ac:dyDescent="0.2">
      <c r="B23" s="51" t="s">
        <v>6</v>
      </c>
      <c r="C23" s="51"/>
      <c r="D23" s="10" t="s">
        <v>2</v>
      </c>
    </row>
    <row r="24" spans="2:4" ht="28" x14ac:dyDescent="0.2">
      <c r="B24" s="11" t="s">
        <v>5</v>
      </c>
      <c r="C24" s="12" t="s">
        <v>155</v>
      </c>
      <c r="D24" s="46">
        <v>1</v>
      </c>
    </row>
    <row r="25" spans="2:4" ht="28" x14ac:dyDescent="0.2">
      <c r="B25" s="11">
        <v>3</v>
      </c>
      <c r="C25" s="13" t="s">
        <v>119</v>
      </c>
      <c r="D25" s="47"/>
    </row>
    <row r="26" spans="2:4" ht="28" x14ac:dyDescent="0.2">
      <c r="B26" s="11">
        <v>2</v>
      </c>
      <c r="C26" s="13" t="s">
        <v>120</v>
      </c>
      <c r="D26" s="47"/>
    </row>
    <row r="27" spans="2:4" ht="28" x14ac:dyDescent="0.2">
      <c r="B27" s="11">
        <v>1</v>
      </c>
      <c r="C27" s="13" t="s">
        <v>121</v>
      </c>
      <c r="D27" s="48"/>
    </row>
    <row r="30" spans="2:4" x14ac:dyDescent="0.2">
      <c r="B30" s="51" t="s">
        <v>8</v>
      </c>
      <c r="C30" s="51"/>
      <c r="D30" s="10" t="s">
        <v>2</v>
      </c>
    </row>
    <row r="31" spans="2:4" ht="30" customHeight="1" x14ac:dyDescent="0.2">
      <c r="B31" s="11" t="s">
        <v>7</v>
      </c>
      <c r="C31" s="15" t="s">
        <v>122</v>
      </c>
      <c r="D31" s="46">
        <v>2</v>
      </c>
    </row>
    <row r="32" spans="2:4" ht="30.75" customHeight="1" x14ac:dyDescent="0.2">
      <c r="B32" s="11">
        <v>3</v>
      </c>
      <c r="C32" s="16" t="s">
        <v>123</v>
      </c>
      <c r="D32" s="47"/>
    </row>
    <row r="33" spans="2:4" ht="28" x14ac:dyDescent="0.2">
      <c r="B33" s="11">
        <v>2</v>
      </c>
      <c r="C33" s="16" t="s">
        <v>124</v>
      </c>
      <c r="D33" s="47"/>
    </row>
    <row r="34" spans="2:4" ht="29.25" customHeight="1" x14ac:dyDescent="0.2">
      <c r="B34" s="11">
        <v>1</v>
      </c>
      <c r="C34" s="16" t="s">
        <v>125</v>
      </c>
      <c r="D34" s="48"/>
    </row>
    <row r="37" spans="2:4" x14ac:dyDescent="0.15">
      <c r="B37" s="45" t="s">
        <v>9</v>
      </c>
      <c r="C37" s="45"/>
      <c r="D37" s="10" t="s">
        <v>2</v>
      </c>
    </row>
    <row r="38" spans="2:4" ht="28" x14ac:dyDescent="0.15">
      <c r="B38" s="11" t="s">
        <v>10</v>
      </c>
      <c r="C38" s="17" t="s">
        <v>126</v>
      </c>
      <c r="D38" s="46">
        <v>1</v>
      </c>
    </row>
    <row r="39" spans="2:4" ht="28" x14ac:dyDescent="0.15">
      <c r="B39" s="11">
        <v>3</v>
      </c>
      <c r="C39" s="18" t="s">
        <v>127</v>
      </c>
      <c r="D39" s="47"/>
    </row>
    <row r="40" spans="2:4" ht="28" x14ac:dyDescent="0.15">
      <c r="B40" s="11">
        <v>2</v>
      </c>
      <c r="C40" s="18" t="s">
        <v>128</v>
      </c>
      <c r="D40" s="47"/>
    </row>
    <row r="41" spans="2:4" ht="28" x14ac:dyDescent="0.15">
      <c r="B41" s="11">
        <v>1</v>
      </c>
      <c r="C41" s="18" t="s">
        <v>129</v>
      </c>
      <c r="D41" s="48"/>
    </row>
    <row r="44" spans="2:4" x14ac:dyDescent="0.2">
      <c r="B44" s="52" t="s">
        <v>11</v>
      </c>
      <c r="C44" s="52"/>
      <c r="D44" s="10" t="s">
        <v>2</v>
      </c>
    </row>
    <row r="45" spans="2:4" ht="28" x14ac:dyDescent="0.2">
      <c r="B45" s="19" t="s">
        <v>12</v>
      </c>
      <c r="C45" s="12" t="s">
        <v>156</v>
      </c>
      <c r="D45" s="46">
        <v>1</v>
      </c>
    </row>
    <row r="46" spans="2:4" ht="28" x14ac:dyDescent="0.2">
      <c r="B46" s="19">
        <v>3</v>
      </c>
      <c r="C46" s="13" t="s">
        <v>130</v>
      </c>
      <c r="D46" s="47"/>
    </row>
    <row r="47" spans="2:4" ht="28" x14ac:dyDescent="0.2">
      <c r="B47" s="19">
        <v>2</v>
      </c>
      <c r="C47" s="13" t="s">
        <v>131</v>
      </c>
      <c r="D47" s="47"/>
    </row>
    <row r="48" spans="2:4" ht="28" x14ac:dyDescent="0.2">
      <c r="B48" s="19">
        <v>1</v>
      </c>
      <c r="C48" s="13" t="s">
        <v>132</v>
      </c>
      <c r="D48" s="48"/>
    </row>
    <row r="51" spans="2:4" x14ac:dyDescent="0.15">
      <c r="B51" s="45" t="s">
        <v>13</v>
      </c>
      <c r="C51" s="45"/>
      <c r="D51" s="10" t="s">
        <v>2</v>
      </c>
    </row>
    <row r="52" spans="2:4" ht="28" x14ac:dyDescent="0.15">
      <c r="B52" s="11" t="s">
        <v>14</v>
      </c>
      <c r="C52" s="17" t="s">
        <v>157</v>
      </c>
      <c r="D52" s="46">
        <v>2</v>
      </c>
    </row>
    <row r="53" spans="2:4" ht="28" x14ac:dyDescent="0.15">
      <c r="B53" s="11">
        <v>3</v>
      </c>
      <c r="C53" s="18" t="s">
        <v>133</v>
      </c>
      <c r="D53" s="47"/>
    </row>
    <row r="54" spans="2:4" ht="28" x14ac:dyDescent="0.15">
      <c r="B54" s="11">
        <v>2</v>
      </c>
      <c r="C54" s="18" t="s">
        <v>134</v>
      </c>
      <c r="D54" s="47"/>
    </row>
    <row r="55" spans="2:4" ht="28" x14ac:dyDescent="0.15">
      <c r="B55" s="11">
        <v>1</v>
      </c>
      <c r="C55" s="18" t="s">
        <v>135</v>
      </c>
      <c r="D55" s="48"/>
    </row>
    <row r="58" spans="2:4" x14ac:dyDescent="0.15">
      <c r="B58" s="45" t="s">
        <v>16</v>
      </c>
      <c r="C58" s="45"/>
      <c r="D58" s="10" t="s">
        <v>2</v>
      </c>
    </row>
    <row r="59" spans="2:4" ht="28" x14ac:dyDescent="0.15">
      <c r="B59" s="11" t="s">
        <v>15</v>
      </c>
      <c r="C59" s="20" t="s">
        <v>136</v>
      </c>
      <c r="D59" s="46">
        <v>1</v>
      </c>
    </row>
    <row r="60" spans="2:4" ht="42" x14ac:dyDescent="0.2">
      <c r="B60" s="11">
        <v>3</v>
      </c>
      <c r="C60" s="13" t="s">
        <v>137</v>
      </c>
      <c r="D60" s="47"/>
    </row>
    <row r="61" spans="2:4" ht="28" x14ac:dyDescent="0.2">
      <c r="B61" s="11">
        <v>2</v>
      </c>
      <c r="C61" s="13" t="s">
        <v>138</v>
      </c>
      <c r="D61" s="47"/>
    </row>
    <row r="62" spans="2:4" ht="28" x14ac:dyDescent="0.2">
      <c r="B62" s="11">
        <v>1</v>
      </c>
      <c r="C62" s="13" t="s">
        <v>139</v>
      </c>
      <c r="D62" s="48"/>
    </row>
    <row r="65" spans="2:4" x14ac:dyDescent="0.15">
      <c r="B65" s="50" t="s">
        <v>17</v>
      </c>
      <c r="C65" s="50"/>
      <c r="D65" s="10" t="s">
        <v>2</v>
      </c>
    </row>
    <row r="66" spans="2:4" ht="28" x14ac:dyDescent="0.15">
      <c r="B66" s="19" t="s">
        <v>18</v>
      </c>
      <c r="C66" s="17" t="s">
        <v>158</v>
      </c>
      <c r="D66" s="46">
        <v>2</v>
      </c>
    </row>
    <row r="67" spans="2:4" ht="28" x14ac:dyDescent="0.15">
      <c r="B67" s="19">
        <v>3</v>
      </c>
      <c r="C67" s="18" t="s">
        <v>160</v>
      </c>
      <c r="D67" s="47"/>
    </row>
    <row r="68" spans="2:4" ht="28" x14ac:dyDescent="0.15">
      <c r="B68" s="19">
        <v>2</v>
      </c>
      <c r="C68" s="18" t="s">
        <v>140</v>
      </c>
      <c r="D68" s="47"/>
    </row>
    <row r="69" spans="2:4" ht="28" x14ac:dyDescent="0.15">
      <c r="B69" s="19">
        <v>1</v>
      </c>
      <c r="C69" s="18" t="s">
        <v>141</v>
      </c>
      <c r="D69" s="48"/>
    </row>
    <row r="72" spans="2:4" x14ac:dyDescent="0.15">
      <c r="B72" s="45" t="s">
        <v>19</v>
      </c>
      <c r="C72" s="45"/>
      <c r="D72" s="10" t="s">
        <v>2</v>
      </c>
    </row>
    <row r="73" spans="2:4" x14ac:dyDescent="0.15">
      <c r="B73" s="11" t="s">
        <v>20</v>
      </c>
      <c r="C73" s="21" t="s">
        <v>159</v>
      </c>
      <c r="D73" s="46">
        <v>2</v>
      </c>
    </row>
    <row r="74" spans="2:4" ht="28" x14ac:dyDescent="0.15">
      <c r="B74" s="11">
        <v>3</v>
      </c>
      <c r="C74" s="22" t="s">
        <v>142</v>
      </c>
      <c r="D74" s="47"/>
    </row>
    <row r="75" spans="2:4" ht="28" x14ac:dyDescent="0.15">
      <c r="B75" s="11">
        <v>2</v>
      </c>
      <c r="C75" s="22" t="s">
        <v>143</v>
      </c>
      <c r="D75" s="47"/>
    </row>
    <row r="76" spans="2:4" x14ac:dyDescent="0.15">
      <c r="B76" s="11">
        <v>1</v>
      </c>
      <c r="C76" s="22" t="s">
        <v>144</v>
      </c>
      <c r="D76" s="48"/>
    </row>
    <row r="77" spans="2:4" x14ac:dyDescent="0.2">
      <c r="C77" s="12" t="s">
        <v>21</v>
      </c>
      <c r="D77" s="11">
        <f>SUM(D10,D17,D24,D31,D38,D45,D52,D59,D66,D73)</f>
        <v>15</v>
      </c>
    </row>
    <row r="78" spans="2:4" x14ac:dyDescent="0.2">
      <c r="C78" s="23"/>
    </row>
    <row r="80" spans="2:4" x14ac:dyDescent="0.2">
      <c r="C80" s="12" t="s">
        <v>22</v>
      </c>
    </row>
    <row r="81" spans="3:3" x14ac:dyDescent="0.2">
      <c r="C81" s="49" t="str">
        <f>IF(D77&lt;=15,"Nivel 1 – Inicial: Recomendamos ruta 'Brújula Diversa' (ABC de la diversidad; Sesgos inconscientes; Pautas de atención a clientes y usuarios diversos; Lenguaje inclusivo)",
IF(D77&lt;=23,"Nivel 2 – Intermedio: Recomendamos ruta 'Culturas que cuidan' (Espacios seguros; ABC de orientaciones e identidades; Rompiendo estereotipos; Formación en diversidad para equipos de talento humano)",
"Nivel 3 – Avanzado: Recomendamos ruta 'Talento sin etiquetas' (Entrevista libre de sesgos; Talento trans; Interseccionalidad; Procesos de contratación desde una mirada jurídica)"))</f>
        <v>Nivel 1 – Inicial: Recomendamos ruta 'Brújula Diversa' (ABC de la diversidad; Sesgos inconscientes; Pautas de atención a clientes y usuarios diversos; Lenguaje inclusivo)</v>
      </c>
    </row>
    <row r="82" spans="3:3" x14ac:dyDescent="0.2">
      <c r="C82" s="49"/>
    </row>
  </sheetData>
  <mergeCells count="24">
    <mergeCell ref="B1:D3"/>
    <mergeCell ref="D45:D48"/>
    <mergeCell ref="D10:D13"/>
    <mergeCell ref="B9:C9"/>
    <mergeCell ref="B16:C16"/>
    <mergeCell ref="B23:C23"/>
    <mergeCell ref="D24:D27"/>
    <mergeCell ref="D17:D20"/>
    <mergeCell ref="B6:D6"/>
    <mergeCell ref="B72:C72"/>
    <mergeCell ref="D73:D76"/>
    <mergeCell ref="C81:C82"/>
    <mergeCell ref="B5:D5"/>
    <mergeCell ref="B51:C51"/>
    <mergeCell ref="D52:D55"/>
    <mergeCell ref="D59:D62"/>
    <mergeCell ref="B58:C58"/>
    <mergeCell ref="B65:C65"/>
    <mergeCell ref="D66:D69"/>
    <mergeCell ref="B30:C30"/>
    <mergeCell ref="D31:D34"/>
    <mergeCell ref="B37:C37"/>
    <mergeCell ref="D38:D41"/>
    <mergeCell ref="B44:C44"/>
  </mergeCells>
  <conditionalFormatting sqref="D77">
    <cfRule type="colorScale" priority="1">
      <colorScale>
        <cfvo type="num" val="15"/>
        <cfvo type="num" val="23"/>
        <cfvo type="max"/>
        <color rgb="FFF8696B"/>
        <color rgb="FFFFEB84"/>
        <color rgb="FF63BE7B"/>
      </colorScale>
    </cfRule>
    <cfRule type="cellIs" dxfId="1" priority="2" operator="lessThan">
      <formula>23</formula>
    </cfRule>
    <cfRule type="cellIs" dxfId="0" priority="3" operator="lessThan">
      <formula>15</formula>
    </cfRule>
    <cfRule type="colorScale" priority="4">
      <colorScale>
        <cfvo type="min"/>
        <cfvo type="percentile" val="50"/>
        <cfvo type="max"/>
        <color rgb="FFF8696B"/>
        <color rgb="FFFFEB84"/>
        <color rgb="FF63BE7B"/>
      </colorScale>
    </cfRule>
    <cfRule type="colorScale" priority="5">
      <colorScale>
        <cfvo type="formula" val="&quot;&lt;=15&quot;"/>
        <cfvo type="formula" val="&quot;&lt;=23&quot;"/>
        <cfvo type="max"/>
        <color rgb="FFF8696B"/>
        <color rgb="FFFFEB84"/>
        <color rgb="FF63BE7B"/>
      </colorScale>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9EC3B7C-D287-497C-B99F-F8BDA7D9CBA9}">
          <x14:formula1>
            <xm:f>'Listas desplegables'!$C$3:$C$5</xm:f>
          </x14:formula1>
          <xm:sqref>D10:D13 D66:D69 D73:D76 D17:D20 D24:D27 D38:D41 D45:D48 D52:D55 D59:D62 D31:D34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6658-C9E0-4CAE-9346-A97BE5994B80}">
  <sheetPr>
    <tabColor rgb="FFFF0000"/>
  </sheetPr>
  <dimension ref="C2:D6"/>
  <sheetViews>
    <sheetView zoomScale="115" zoomScaleNormal="115" workbookViewId="0">
      <selection activeCell="G4" sqref="G4"/>
    </sheetView>
  </sheetViews>
  <sheetFormatPr baseColWidth="10" defaultRowHeight="15" x14ac:dyDescent="0.2"/>
  <cols>
    <col min="3" max="3" width="30.83203125" style="8" bestFit="1" customWidth="1"/>
    <col min="4" max="4" width="48.6640625" customWidth="1"/>
  </cols>
  <sheetData>
    <row r="2" spans="3:4" x14ac:dyDescent="0.2">
      <c r="C2" s="29" t="s">
        <v>24</v>
      </c>
      <c r="D2" s="33" t="s">
        <v>25</v>
      </c>
    </row>
    <row r="3" spans="3:4" ht="112" x14ac:dyDescent="0.2">
      <c r="C3" s="29" t="s">
        <v>26</v>
      </c>
      <c r="D3" s="4" t="s">
        <v>145</v>
      </c>
    </row>
    <row r="4" spans="3:4" ht="335" x14ac:dyDescent="0.2">
      <c r="C4" s="29" t="s">
        <v>27</v>
      </c>
      <c r="D4" s="5" t="s">
        <v>146</v>
      </c>
    </row>
    <row r="5" spans="3:4" x14ac:dyDescent="0.2">
      <c r="C5" s="59" t="s">
        <v>23</v>
      </c>
      <c r="D5" s="1" t="s">
        <v>28</v>
      </c>
    </row>
    <row r="6" spans="3:4" ht="64" x14ac:dyDescent="0.2">
      <c r="C6" s="60"/>
      <c r="D6" s="4" t="s">
        <v>29</v>
      </c>
    </row>
  </sheetData>
  <mergeCells count="1">
    <mergeCell ref="C5:C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E1375-2768-44E1-81E2-9B20372BAD9B}">
  <sheetPr>
    <tabColor rgb="FFFFFF00"/>
  </sheetPr>
  <dimension ref="C2:D6"/>
  <sheetViews>
    <sheetView zoomScale="130" zoomScaleNormal="130" workbookViewId="0">
      <selection activeCell="D2" sqref="D2"/>
    </sheetView>
  </sheetViews>
  <sheetFormatPr baseColWidth="10" defaultRowHeight="15" x14ac:dyDescent="0.2"/>
  <cols>
    <col min="3" max="3" width="30.83203125" style="8" bestFit="1" customWidth="1"/>
    <col min="4" max="4" width="55.83203125" customWidth="1"/>
  </cols>
  <sheetData>
    <row r="2" spans="3:4" x14ac:dyDescent="0.2">
      <c r="C2" s="32" t="s">
        <v>24</v>
      </c>
      <c r="D2" s="34" t="s">
        <v>30</v>
      </c>
    </row>
    <row r="3" spans="3:4" ht="118.5" customHeight="1" x14ac:dyDescent="0.2">
      <c r="C3" s="32" t="s">
        <v>26</v>
      </c>
      <c r="D3" s="5" t="s">
        <v>147</v>
      </c>
    </row>
    <row r="4" spans="3:4" ht="350" x14ac:dyDescent="0.2">
      <c r="C4" s="32" t="s">
        <v>27</v>
      </c>
      <c r="D4" s="5" t="s">
        <v>148</v>
      </c>
    </row>
    <row r="5" spans="3:4" x14ac:dyDescent="0.2">
      <c r="C5" s="61" t="s">
        <v>23</v>
      </c>
      <c r="D5" s="1" t="s">
        <v>31</v>
      </c>
    </row>
    <row r="6" spans="3:4" ht="64" x14ac:dyDescent="0.2">
      <c r="C6" s="62"/>
      <c r="D6" s="5" t="s">
        <v>32</v>
      </c>
    </row>
  </sheetData>
  <mergeCells count="1">
    <mergeCell ref="C5:C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804F1-4BE7-475F-9547-A7E558F7EAA4}">
  <sheetPr>
    <tabColor rgb="FF00B050"/>
  </sheetPr>
  <dimension ref="C2:D6"/>
  <sheetViews>
    <sheetView zoomScale="130" zoomScaleNormal="130" workbookViewId="0">
      <selection activeCell="D5" sqref="D5"/>
    </sheetView>
  </sheetViews>
  <sheetFormatPr baseColWidth="10" defaultRowHeight="15" x14ac:dyDescent="0.2"/>
  <cols>
    <col min="3" max="3" width="30.83203125" style="8" bestFit="1" customWidth="1"/>
    <col min="4" max="4" width="45.5" style="6" customWidth="1"/>
  </cols>
  <sheetData>
    <row r="2" spans="3:4" x14ac:dyDescent="0.2">
      <c r="C2" s="30" t="s">
        <v>24</v>
      </c>
      <c r="D2" s="31" t="s">
        <v>33</v>
      </c>
    </row>
    <row r="3" spans="3:4" ht="139.5" customHeight="1" x14ac:dyDescent="0.2">
      <c r="C3" s="30" t="s">
        <v>26</v>
      </c>
      <c r="D3" s="5" t="s">
        <v>149</v>
      </c>
    </row>
    <row r="4" spans="3:4" ht="376.5" customHeight="1" x14ac:dyDescent="0.2">
      <c r="C4" s="30" t="s">
        <v>27</v>
      </c>
      <c r="D4" s="35" t="s">
        <v>150</v>
      </c>
    </row>
    <row r="5" spans="3:4" ht="16" x14ac:dyDescent="0.2">
      <c r="C5" s="63" t="s">
        <v>23</v>
      </c>
      <c r="D5" s="7" t="s">
        <v>34</v>
      </c>
    </row>
    <row r="6" spans="3:4" ht="64" x14ac:dyDescent="0.2">
      <c r="C6" s="64"/>
      <c r="D6" s="5" t="s">
        <v>35</v>
      </c>
    </row>
  </sheetData>
  <mergeCells count="1">
    <mergeCell ref="C5:C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E33B8-CEE5-9342-850C-E2B013C57098}">
  <dimension ref="A1:F12"/>
  <sheetViews>
    <sheetView topLeftCell="A3" workbookViewId="0">
      <selection activeCell="B3" sqref="B3"/>
    </sheetView>
  </sheetViews>
  <sheetFormatPr baseColWidth="10" defaultColWidth="11.5" defaultRowHeight="16" x14ac:dyDescent="0.2"/>
  <cols>
    <col min="1" max="1" width="25.33203125" style="41" customWidth="1"/>
    <col min="2" max="2" width="31.6640625" style="40" customWidth="1"/>
    <col min="3" max="5" width="31" style="40" customWidth="1"/>
    <col min="6" max="6" width="42.5" style="40" customWidth="1"/>
    <col min="7" max="16384" width="11.5" style="40"/>
  </cols>
  <sheetData>
    <row r="1" spans="1:6" s="42" customFormat="1" ht="18" x14ac:dyDescent="0.2">
      <c r="A1" s="65" t="s">
        <v>45</v>
      </c>
      <c r="B1" s="66"/>
      <c r="C1" s="66"/>
      <c r="D1" s="66"/>
      <c r="E1" s="66"/>
      <c r="F1" s="67"/>
    </row>
    <row r="2" spans="1:6" s="42" customFormat="1" ht="38" x14ac:dyDescent="0.2">
      <c r="A2" s="37" t="s">
        <v>46</v>
      </c>
      <c r="B2" s="38" t="s">
        <v>47</v>
      </c>
      <c r="C2" s="38" t="s">
        <v>48</v>
      </c>
      <c r="D2" s="38" t="s">
        <v>49</v>
      </c>
      <c r="E2" s="38" t="s">
        <v>50</v>
      </c>
      <c r="F2" s="38" t="s">
        <v>51</v>
      </c>
    </row>
    <row r="3" spans="1:6" ht="255" x14ac:dyDescent="0.2">
      <c r="A3" s="36" t="s">
        <v>52</v>
      </c>
      <c r="B3" s="39" t="s">
        <v>53</v>
      </c>
      <c r="C3" s="39" t="s">
        <v>54</v>
      </c>
      <c r="D3" s="39" t="s">
        <v>55</v>
      </c>
      <c r="E3" s="39" t="s">
        <v>56</v>
      </c>
      <c r="F3" s="39" t="s">
        <v>57</v>
      </c>
    </row>
    <row r="4" spans="1:6" ht="289" x14ac:dyDescent="0.2">
      <c r="A4" s="36" t="s">
        <v>58</v>
      </c>
      <c r="B4" s="39" t="s">
        <v>59</v>
      </c>
      <c r="C4" s="39" t="s">
        <v>60</v>
      </c>
      <c r="D4" s="39" t="s">
        <v>61</v>
      </c>
      <c r="E4" s="39" t="s">
        <v>62</v>
      </c>
      <c r="F4" s="39" t="s">
        <v>63</v>
      </c>
    </row>
    <row r="5" spans="1:6" ht="272" x14ac:dyDescent="0.2">
      <c r="A5" s="36" t="s">
        <v>64</v>
      </c>
      <c r="B5" s="39" t="s">
        <v>65</v>
      </c>
      <c r="C5" s="39" t="s">
        <v>66</v>
      </c>
      <c r="D5" s="39" t="s">
        <v>67</v>
      </c>
      <c r="E5" s="39" t="s">
        <v>68</v>
      </c>
      <c r="F5" s="39" t="s">
        <v>69</v>
      </c>
    </row>
    <row r="6" spans="1:6" ht="238" x14ac:dyDescent="0.2">
      <c r="A6" s="36" t="s">
        <v>70</v>
      </c>
      <c r="B6" s="39" t="s">
        <v>71</v>
      </c>
      <c r="C6" s="39" t="s">
        <v>72</v>
      </c>
      <c r="D6" s="39" t="s">
        <v>73</v>
      </c>
      <c r="E6" s="39" t="s">
        <v>74</v>
      </c>
      <c r="F6" s="39" t="s">
        <v>75</v>
      </c>
    </row>
    <row r="7" spans="1:6" ht="255" x14ac:dyDescent="0.2">
      <c r="A7" s="36" t="s">
        <v>76</v>
      </c>
      <c r="B7" s="39" t="s">
        <v>77</v>
      </c>
      <c r="C7" s="39" t="s">
        <v>78</v>
      </c>
      <c r="D7" s="39" t="s">
        <v>79</v>
      </c>
      <c r="E7" s="39" t="s">
        <v>80</v>
      </c>
      <c r="F7" s="39" t="s">
        <v>81</v>
      </c>
    </row>
    <row r="8" spans="1:6" ht="238" x14ac:dyDescent="0.2">
      <c r="A8" s="36" t="s">
        <v>82</v>
      </c>
      <c r="B8" s="39" t="s">
        <v>83</v>
      </c>
      <c r="C8" s="39" t="s">
        <v>84</v>
      </c>
      <c r="D8" s="39" t="s">
        <v>85</v>
      </c>
      <c r="E8" s="39" t="s">
        <v>86</v>
      </c>
      <c r="F8" s="39" t="s">
        <v>87</v>
      </c>
    </row>
    <row r="9" spans="1:6" ht="187" x14ac:dyDescent="0.2">
      <c r="A9" s="36" t="s">
        <v>88</v>
      </c>
      <c r="B9" s="39" t="s">
        <v>89</v>
      </c>
      <c r="C9" s="39" t="s">
        <v>90</v>
      </c>
      <c r="D9" s="39" t="s">
        <v>91</v>
      </c>
      <c r="E9" s="39" t="s">
        <v>92</v>
      </c>
      <c r="F9" s="39" t="s">
        <v>93</v>
      </c>
    </row>
    <row r="10" spans="1:6" ht="187" x14ac:dyDescent="0.2">
      <c r="A10" s="36" t="s">
        <v>94</v>
      </c>
      <c r="B10" s="39" t="s">
        <v>95</v>
      </c>
      <c r="C10" s="39" t="s">
        <v>96</v>
      </c>
      <c r="D10" s="39" t="s">
        <v>97</v>
      </c>
      <c r="E10" s="39" t="s">
        <v>98</v>
      </c>
      <c r="F10" s="39" t="s">
        <v>99</v>
      </c>
    </row>
    <row r="11" spans="1:6" ht="170" x14ac:dyDescent="0.2">
      <c r="A11" s="36" t="s">
        <v>100</v>
      </c>
      <c r="B11" s="39" t="s">
        <v>101</v>
      </c>
      <c r="C11" s="39" t="s">
        <v>102</v>
      </c>
      <c r="D11" s="39" t="s">
        <v>103</v>
      </c>
      <c r="E11" s="39" t="s">
        <v>104</v>
      </c>
      <c r="F11" s="39" t="s">
        <v>105</v>
      </c>
    </row>
    <row r="12" spans="1:6" ht="187" x14ac:dyDescent="0.2">
      <c r="A12" s="36" t="s">
        <v>106</v>
      </c>
      <c r="B12" s="39" t="s">
        <v>107</v>
      </c>
      <c r="C12" s="39" t="s">
        <v>108</v>
      </c>
      <c r="D12" s="39" t="s">
        <v>109</v>
      </c>
      <c r="E12" s="39" t="s">
        <v>110</v>
      </c>
      <c r="F12" s="39" t="s">
        <v>111</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77A9-91BE-4631-B3B0-7D4495B14A67}">
  <dimension ref="C3:C5"/>
  <sheetViews>
    <sheetView workbookViewId="0">
      <selection activeCell="F10" sqref="F10:F11"/>
    </sheetView>
  </sheetViews>
  <sheetFormatPr baseColWidth="10" defaultRowHeight="15" x14ac:dyDescent="0.2"/>
  <sheetData>
    <row r="3" spans="3:3" x14ac:dyDescent="0.2">
      <c r="C3">
        <v>3</v>
      </c>
    </row>
    <row r="4" spans="3:3" x14ac:dyDescent="0.2">
      <c r="C4">
        <v>2</v>
      </c>
    </row>
    <row r="5" spans="3:3" x14ac:dyDescent="0.2">
      <c r="C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Cuestionario</vt:lpstr>
      <vt:lpstr>Nivel 1</vt:lpstr>
      <vt:lpstr>Nivel 2</vt:lpstr>
      <vt:lpstr>Nivel 3</vt:lpstr>
      <vt:lpstr>Recomendaciones</vt:lpstr>
      <vt:lpstr>Listas desplegables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Sandoval Sandoval Montañez</dc:creator>
  <cp:lastModifiedBy>Juan Camilo Garcia Martin</cp:lastModifiedBy>
  <dcterms:created xsi:type="dcterms:W3CDTF">2025-08-06T03:09:22Z</dcterms:created>
  <dcterms:modified xsi:type="dcterms:W3CDTF">2025-10-31T17:28:48Z</dcterms:modified>
</cp:coreProperties>
</file>